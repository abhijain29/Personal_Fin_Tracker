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xr:revisionPtr revIDLastSave="22" documentId="11_4EFFD6E0EB7937A4138AA85EAB617FDD3E002EEB" xr6:coauthVersionLast="47" xr6:coauthVersionMax="47" xr10:uidLastSave="{E8622C30-DD7E-4570-9FE3-3EB91F2702CB}"/>
  <bookViews>
    <workbookView xWindow="240" yWindow="15" windowWidth="16095" windowHeight="9660" xr2:uid="{00000000-000D-0000-FFFF-FFFF00000000}"/>
  </bookViews>
  <sheets>
    <sheet name="IDFC Transactions" sheetId="1" r:id="rId1"/>
    <sheet name="IDFC Categorized Summary" sheetId="2" r:id="rId2"/>
  </sheets>
  <definedNames>
    <definedName name="_xlnm._FilterDatabase" localSheetId="1" hidden="1">'IDFC Categorized Summary'!$A$1:$J$26</definedName>
    <definedName name="_xlnm._FilterDatabase" localSheetId="0" hidden="1">'IDFC Transactions'!$A$1:$F$26</definedName>
  </definedNames>
  <calcPr calcId="191028"/>
  <pivotCaches>
    <pivotCache cacheId="1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<sst xmlns="http://schemas.openxmlformats.org/spreadsheetml/2006/main" count="340" uniqueCount="84">
  <si>
    <t>Period</t>
  </si>
  <si>
    <t>Date</t>
  </si>
  <si>
    <t>Account</t>
  </si>
  <si>
    <t>Description</t>
  </si>
  <si>
    <t>Amount</t>
  </si>
  <si>
    <t>Balance</t>
  </si>
  <si>
    <t>Jan-26</t>
  </si>
  <si>
    <t>02-Jan-2026</t>
  </si>
  <si>
    <t>PJ IDFC</t>
  </si>
  <si>
    <t>RTGS/YESBR12026010200042087/PRIYANKA JAIN/YESB0000001</t>
  </si>
  <si>
    <t>IFT/10241984904/Mr. Abhishek Jain /36847868/Family</t>
  </si>
  <si>
    <t>03-Jan-2026</t>
  </si>
  <si>
    <t>RTGS/YESBR12026010300026326/PRIYANKA JAIN/YESB0000001</t>
  </si>
  <si>
    <t>05-Jan-2026</t>
  </si>
  <si>
    <t>IMPS/600510920185/ANJUSHA RMA/SBIN0013175/4905/Rent</t>
  </si>
  <si>
    <t>08-Jan-2026</t>
  </si>
  <si>
    <t>NEFT/YESOB60080005731/PRI YANKA JAIN/YESB0000001/SELF</t>
  </si>
  <si>
    <t>UPI/CR/600855952130/Priyanka/ BARB/9663371/AddMone</t>
  </si>
  <si>
    <t>21-Jan-2026</t>
  </si>
  <si>
    <t>RTGS/YESBR12026012100037374/PRIYANKA JAIN/YESB0000001</t>
  </si>
  <si>
    <t>30-Jan-2026</t>
  </si>
  <si>
    <t>RTGS/YESBR12026013000044554/PRIYANKA JAIN/YESB0000001</t>
  </si>
  <si>
    <t>31-Jan-2026</t>
  </si>
  <si>
    <t>MONTHLY SAVINGS INTEREST CREDIT COLLEGE, RAIPUR,</t>
  </si>
  <si>
    <t>01-Jan-2026</t>
  </si>
  <si>
    <t>AJ IDFC</t>
  </si>
  <si>
    <t>RTGS/YESBR12026010100024027/ABHISHEK JAIN FOR 004790500000535/YESB0000001</t>
  </si>
  <si>
    <t>IFT/10245849905/Ms. Priyanka Jain /36847868/Family</t>
  </si>
  <si>
    <t>04-Jan-2026</t>
  </si>
  <si>
    <t>UPI/CR/637008984939/ABHISH EK/UTIB/9663371/Test cr</t>
  </si>
  <si>
    <t>RTGS/YESBR12026010500037446/ABHISHEK JAIN FOR 004790500000535/YESB0000001</t>
  </si>
  <si>
    <t>Payment towards card ending with 549947******1400</t>
  </si>
  <si>
    <t>13-Jan-2026</t>
  </si>
  <si>
    <t>IMPS/601335402933/ABHISHEK JAIN/YESB0000001/0535/self</t>
  </si>
  <si>
    <t>IMPS/601335404792/ABHISHEK JAIN/YESB0000001/0535/self</t>
  </si>
  <si>
    <t>16-Jan-2026</t>
  </si>
  <si>
    <t>RTGS/YESBR12026011600027911/ABHISHEK JAIN FOR 004790500000535/YESB0000001</t>
  </si>
  <si>
    <t>23-Jan-2026</t>
  </si>
  <si>
    <t>NEFT/HSBCN02312491125/MR ABHISHEK JAIN/HSBC0560002/MR ABHISHEK JAINMIG 95 HOUSING BOARD COLONY NEAR NARULA GARDEN TATIBANDH TATIBANDH RAIPUR CHHATTISGARH INDIA PC:492099/IN</t>
  </si>
  <si>
    <t>24-Jan-2026</t>
  </si>
  <si>
    <t>POS-MDS/ZEPTO MARKETPLACE P/602408033390/Bengaluru/14:02 :07</t>
  </si>
  <si>
    <t>25-Jan-2026</t>
  </si>
  <si>
    <t>POS-MDS/ZEPTO MARKETPLACE P/602515426400/Bengaluru/20:37 :16</t>
  </si>
  <si>
    <t>26-Jan-2026</t>
  </si>
  <si>
    <t>NEFT/HSBCN02612915015/MR ABHISHEK JAIN/HSBC0560002/MR ABHISHEK JAINMIG 95 HOUSING BOARD COLONY NEAR NARULA GARDEN TATIBANDH TATIBANDH RAIPUR CHHATTISGARH INDIA PC:492099/IN</t>
  </si>
  <si>
    <t>27-Jan-2026</t>
  </si>
  <si>
    <t>NEFT/HSBCN02712990211/MR ABHISHEK JAIN/HSBC0560002/MR ABHISHEK JAINMIG 95 HOUSING BOARD COLONY NEAR NARULA GARDEN TATIBANDH TATIBANDH RAIPUR CHHATTISGARH INDIA PC:492099/IN</t>
  </si>
  <si>
    <t>RTGS/YESBR12026012700048928/ABHISHEK JAIN FOR 004790500000535/YESB0000001</t>
  </si>
  <si>
    <t>RTGS/YESBR12026013100003353/ABHISHEK JAIN FOR 004790500000535/YESB0000001</t>
  </si>
  <si>
    <t>Mode</t>
  </si>
  <si>
    <t>Expense Type</t>
  </si>
  <si>
    <t>Merchant Category</t>
  </si>
  <si>
    <t>Store Name</t>
  </si>
  <si>
    <t>(All)</t>
  </si>
  <si>
    <t>RTGS</t>
  </si>
  <si>
    <t>Money In</t>
  </si>
  <si>
    <t>PJ Yes to PJ IDFC</t>
  </si>
  <si>
    <t>Bank Transfer</t>
  </si>
  <si>
    <t>IFT</t>
  </si>
  <si>
    <t>PJ IDFC &lt;-- AJ IDFC</t>
  </si>
  <si>
    <t>Sum of Amount</t>
  </si>
  <si>
    <t>IMPS</t>
  </si>
  <si>
    <t>Rent</t>
  </si>
  <si>
    <t>Monthly Interest</t>
  </si>
  <si>
    <t>NEFT</t>
  </si>
  <si>
    <t>PJ IDFC &lt;-- PJ Yes</t>
  </si>
  <si>
    <t>CC Bill Payment</t>
  </si>
  <si>
    <t>UPI</t>
  </si>
  <si>
    <t>PJ IDFC &lt;-- PJ BoB</t>
  </si>
  <si>
    <t>Misc</t>
  </si>
  <si>
    <t>Grand Total</t>
  </si>
  <si>
    <t>Money Out</t>
  </si>
  <si>
    <t>Bank</t>
  </si>
  <si>
    <t>IDFC</t>
  </si>
  <si>
    <t>Shopping</t>
  </si>
  <si>
    <t>AJ IDFC --&gt; AJ Yes</t>
  </si>
  <si>
    <t>(blank)</t>
  </si>
  <si>
    <t>AJ IDFC --&gt; PJ IDFC</t>
  </si>
  <si>
    <t>IDFC CC</t>
  </si>
  <si>
    <t>AJ IDFC &lt;-- AJ Yes</t>
  </si>
  <si>
    <t>AJ IDFC &lt;-- AJ HSBC</t>
  </si>
  <si>
    <t>Card</t>
  </si>
  <si>
    <t>Departmental Store</t>
  </si>
  <si>
    <t>Zepto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</si>
</sst>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2.814242592591" createdVersion="8" refreshedVersion="8" minRefreshableVersion="3" recordCount="26" xr:uid="{FA0E385D-B85F-44BB-9094-F7E3A20DDFB1}">
  <cacheSource type="worksheet">
    <worksheetSource ref="A1:J1048576" sheet="IDFC Categorized Summary"/>
  </cacheSource>
  <cacheFields count="10">
    <cacheField name="Period" numFmtId="0">
      <sharedItems containsBlank="1" count="2">
        <s v="Jan-26"/>
        <m/>
      </sharedItems>
    </cacheField>
    <cacheField name="Date" numFmtId="0">
      <sharedItems containsBlank="1" count="17">
        <s v="02-Jan-2026"/>
        <s v="03-Jan-2026"/>
        <s v="05-Jan-2026"/>
        <s v="08-Jan-2026"/>
        <s v="21-Jan-2026"/>
        <s v="30-Jan-2026"/>
        <s v="31-Jan-2026"/>
        <s v="01-Jan-2026"/>
        <s v="04-Jan-2026"/>
        <s v="13-Jan-2026"/>
        <s v="16-Jan-2026"/>
        <s v="23-Jan-2026"/>
        <s v="24-Jan-2026"/>
        <s v="25-Jan-2026"/>
        <s v="26-Jan-2026"/>
        <s v="27-Jan-2026"/>
        <m/>
      </sharedItems>
    </cacheField>
    <cacheField name="Account" numFmtId="0">
      <sharedItems containsBlank="1" count="3">
        <s v="PJ IDFC"/>
        <s v="AJ IDFC"/>
        <m/>
      </sharedItems>
    </cacheField>
    <cacheField name="Description" numFmtId="0">
      <sharedItems containsBlank="1"/>
    </cacheField>
    <cacheField name="Amount" numFmtId="0">
      <sharedItems containsString="0" containsBlank="1" containsNumber="1" containsInteger="1" minValue="-2000000" maxValue="2500000"/>
    </cacheField>
    <cacheField name="Balance" numFmtId="0">
      <sharedItems containsString="0" containsBlank="1" containsNumber="1" minValue="1766011.87" maxValue="17136136"/>
    </cacheField>
    <cacheField name="Mode" numFmtId="0">
      <sharedItems containsBlank="1"/>
    </cacheField>
    <cacheField name="Expense Type" numFmtId="0">
      <sharedItems containsBlank="1" count="6">
        <s v="Money In"/>
        <s v="Money Out"/>
        <s v="Misc"/>
        <s v="CC Bill Payment"/>
        <s v="Shopping"/>
        <m/>
      </sharedItems>
    </cacheField>
    <cacheField name="Merchant Category" numFmtId="0">
      <sharedItems containsBlank="1" count="14">
        <s v="PJ Yes to PJ IDFC"/>
        <s v="PJ IDFC &lt;-- AJ IDFC"/>
        <s v="Rent"/>
        <s v="PJ IDFC &lt;-- PJ Yes"/>
        <s v="PJ IDFC &lt;-- PJ BoB"/>
        <s v="Monthly Interest"/>
        <s v="AJ IDFC --&gt; AJ Yes"/>
        <s v="AJ IDFC --&gt; PJ IDFC"/>
        <s v="Misc"/>
        <s v="IDFC CC"/>
        <s v="AJ IDFC &lt;-- AJ Yes"/>
        <s v="AJ IDFC &lt;-- AJ HSBC"/>
        <s v="Departmental Store"/>
        <m/>
      </sharedItems>
    </cacheField>
    <cacheField name="Store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  <s v="RTGS/YESBR12026010200042087/PRIYANKA JAIN/YESB0000001"/>
    <n v="2500000"/>
    <n v="4940741"/>
    <s v="RTGS"/>
    <x v="0"/>
    <x v="0"/>
    <s v="Bank Transfer"/>
  </r>
  <r>
    <x v="0"/>
    <x v="0"/>
    <x v="0"/>
    <s v="IFT/10241984904/Mr. Abhishek Jain /36847868/Family"/>
    <n v="2000000"/>
    <n v="6940741"/>
    <s v="IFT"/>
    <x v="0"/>
    <x v="1"/>
    <s v="Bank Transfer"/>
  </r>
  <r>
    <x v="0"/>
    <x v="1"/>
    <x v="0"/>
    <s v="RTGS/YESBR12026010300026326/PRIYANKA JAIN/YESB0000001"/>
    <n v="2500000"/>
    <n v="9440741"/>
    <s v="RTGS"/>
    <x v="0"/>
    <x v="0"/>
    <s v="Bank Transfer"/>
  </r>
  <r>
    <x v="0"/>
    <x v="2"/>
    <x v="0"/>
    <s v="IMPS/600510920185/ANJUSHA RMA/SBIN0013175/4905/Rent"/>
    <n v="28500"/>
    <n v="9469241"/>
    <s v="IMPS"/>
    <x v="0"/>
    <x v="2"/>
    <s v="Bank Transfer"/>
  </r>
  <r>
    <x v="0"/>
    <x v="3"/>
    <x v="0"/>
    <s v="NEFT/YESOB60080005731/PRI YANKA JAIN/YESB0000001/SELF"/>
    <n v="2500000"/>
    <n v="11969241"/>
    <s v="NEFT"/>
    <x v="0"/>
    <x v="3"/>
    <s v="Bank Transfer"/>
  </r>
  <r>
    <x v="0"/>
    <x v="3"/>
    <x v="0"/>
    <s v="UPI/CR/600855952130/Priyanka/ BARB/9663371/AddMone"/>
    <n v="100000"/>
    <n v="12069241"/>
    <s v="UPI"/>
    <x v="0"/>
    <x v="4"/>
    <s v="Bank Transfer"/>
  </r>
  <r>
    <x v="0"/>
    <x v="4"/>
    <x v="0"/>
    <s v="RTGS/YESBR12026012100037374/PRIYANKA JAIN/YESB0000001"/>
    <n v="2500000"/>
    <n v="14569241"/>
    <s v="RTGS"/>
    <x v="0"/>
    <x v="0"/>
    <s v="Bank Transfer"/>
  </r>
  <r>
    <x v="0"/>
    <x v="5"/>
    <x v="0"/>
    <s v="RTGS/YESBR12026013000044554/PRIYANKA JAIN/YESB0000001"/>
    <n v="2500000"/>
    <n v="17069241"/>
    <s v="RTGS"/>
    <x v="0"/>
    <x v="0"/>
    <s v="Bank Transfer"/>
  </r>
  <r>
    <x v="0"/>
    <x v="6"/>
    <x v="0"/>
    <s v="MONTHLY SAVINGS INTEREST CREDIT COLLEGE, RAIPUR,"/>
    <n v="66895"/>
    <n v="17136136"/>
    <s v="Bank"/>
    <x v="0"/>
    <x v="5"/>
    <s v="IDFC"/>
  </r>
  <r>
    <x v="0"/>
    <x v="7"/>
    <x v="1"/>
    <s v="RTGS/YESBR12026010100024027/ABHISHEK JAIN FOR 004790500000535/YESB0000001"/>
    <n v="2500000"/>
    <n v="3766011.87"/>
    <s v="RTGS"/>
    <x v="1"/>
    <x v="6"/>
    <s v="Bank Transfer"/>
  </r>
  <r>
    <x v="0"/>
    <x v="0"/>
    <x v="1"/>
    <s v="IFT/10245849905/Ms. Priyanka Jain /36847868/Family"/>
    <n v="-2000000"/>
    <n v="1766011.87"/>
    <s v="IFT"/>
    <x v="1"/>
    <x v="7"/>
    <s v="Bank Transfer"/>
  </r>
  <r>
    <x v="0"/>
    <x v="8"/>
    <x v="1"/>
    <s v="UPI/CR/637008984939/ABHISH EK/UTIB/9663371/Test cr"/>
    <n v="100"/>
    <n v="1766111.87"/>
    <s v="Misc"/>
    <x v="2"/>
    <x v="8"/>
    <s v="Misc"/>
  </r>
  <r>
    <x v="0"/>
    <x v="2"/>
    <x v="1"/>
    <s v="RTGS/YESBR12026010500037446/ABHISHEK JAIN FOR 004790500000535/YESB0000001"/>
    <n v="2500000"/>
    <n v="4266111.87"/>
    <s v="RTGS"/>
    <x v="1"/>
    <x v="6"/>
    <s v="Bank Transfer"/>
  </r>
  <r>
    <x v="0"/>
    <x v="3"/>
    <x v="1"/>
    <s v="Payment towards card ending with 549947******1400"/>
    <n v="-99"/>
    <n v="4266012.87"/>
    <s v="Bank"/>
    <x v="3"/>
    <x v="9"/>
    <s v="Bank Transfer"/>
  </r>
  <r>
    <x v="0"/>
    <x v="9"/>
    <x v="1"/>
    <s v="IMPS/601335402933/ABHISHEK JAIN/YESB0000001/0535/self"/>
    <n v="500000"/>
    <n v="4766012.87"/>
    <s v="IMPS"/>
    <x v="0"/>
    <x v="10"/>
    <s v="Bank Transfer"/>
  </r>
  <r>
    <x v="0"/>
    <x v="9"/>
    <x v="1"/>
    <s v="IMPS/601335404792/ABHISHEK JAIN/YESB0000001/0535/self"/>
    <n v="500000"/>
    <n v="5266012.87"/>
    <s v="IMPS"/>
    <x v="0"/>
    <x v="10"/>
    <s v="Bank Transfer"/>
  </r>
  <r>
    <x v="0"/>
    <x v="10"/>
    <x v="1"/>
    <s v="RTGS/YESBR12026011600027911/ABHISHEK JAIN FOR 004790500000535/YESB0000001"/>
    <n v="2500000"/>
    <n v="7766012.8700000001"/>
    <s v="RTGS"/>
    <x v="1"/>
    <x v="6"/>
    <s v="Bank Transfer"/>
  </r>
  <r>
    <x v="0"/>
    <x v="11"/>
    <x v="1"/>
    <s v="NEFT/HSBCN02312491125/MR ABHISHEK JAIN/HSBC0560002/MR ABHISHEK JAINMIG 95 HOUSING BOARD COLONY NEAR NARULA GARDEN TATIBANDH TATIBANDH RAIPUR CHHATTISGARH INDIA PC:492099/IN"/>
    <n v="100"/>
    <n v="7766112.8700000001"/>
    <s v="NEFT"/>
    <x v="0"/>
    <x v="11"/>
    <s v="Bank Transfer"/>
  </r>
  <r>
    <x v="0"/>
    <x v="12"/>
    <x v="1"/>
    <s v="POS-MDS/ZEPTO MARKETPLACE P/602408033390/Bengaluru/14:02 :07"/>
    <n v="-495"/>
    <n v="7765617.8700000001"/>
    <s v="Card"/>
    <x v="4"/>
    <x v="12"/>
    <s v="Zepto"/>
  </r>
  <r>
    <x v="0"/>
    <x v="13"/>
    <x v="1"/>
    <s v="POS-MDS/ZEPTO MARKETPLACE P/602515426400/Bengaluru/20:37 :16"/>
    <n v="-416"/>
    <n v="7765201.8700000001"/>
    <s v="Card"/>
    <x v="4"/>
    <x v="12"/>
    <s v="Zepto"/>
  </r>
  <r>
    <x v="0"/>
    <x v="14"/>
    <x v="1"/>
    <s v="NEFT/HSBCN02612915015/MR ABHISHEK JAIN/HSBC0560002/MR ABHISHEK JAINMIG 95 HOUSING BOARD COLONY NEAR NARULA GARDEN TATIBANDH TATIBANDH RAIPUR CHHATTISGARH INDIA PC:492099/IN"/>
    <n v="200000"/>
    <n v="7965201.8700000001"/>
    <s v="NEFT"/>
    <x v="0"/>
    <x v="11"/>
    <s v="Bank Transfer"/>
  </r>
  <r>
    <x v="0"/>
    <x v="15"/>
    <x v="1"/>
    <s v="NEFT/HSBCN02712990211/MR ABHISHEK JAIN/HSBC0560002/MR ABHISHEK JAINMIG 95 HOUSING BOARD COLONY NEAR NARULA GARDEN TATIBANDH TATIBANDH RAIPUR CHHATTISGARH INDIA PC:492099/IN"/>
    <n v="100000"/>
    <n v="8065201.8700000001"/>
    <s v="NEFT"/>
    <x v="0"/>
    <x v="11"/>
    <s v="Bank Transfer"/>
  </r>
  <r>
    <x v="0"/>
    <x v="15"/>
    <x v="1"/>
    <s v="RTGS/YESBR12026012700048928/ABHISHEK JAIN FOR 004790500000535/YESB0000001"/>
    <n v="2500000"/>
    <n v="10565201.869999999"/>
    <s v="RTGS"/>
    <x v="1"/>
    <x v="6"/>
    <s v="Bank Transfer"/>
  </r>
  <r>
    <x v="0"/>
    <x v="6"/>
    <x v="1"/>
    <s v="RTGS/YESBR12026013100003353/ABHISHEK JAIN FOR 004790500000535/YESB0000001"/>
    <n v="1300000"/>
    <n v="11865201.869999999"/>
    <s v="RTGS"/>
    <x v="1"/>
    <x v="6"/>
    <s v="Bank Transfer"/>
  </r>
  <r>
    <x v="0"/>
    <x v="6"/>
    <x v="1"/>
    <s v="MONTHLY SAVINGS INTEREST CREDIT COLLEGE, RAIPUR,"/>
    <n v="34241"/>
    <n v="11899442.869999999"/>
    <s v="Bank"/>
    <x v="0"/>
    <x v="5"/>
    <s v="IDFC"/>
  </r>
  <r>
    <x v="1"/>
    <x v="16"/>
    <x v="2"/>
    <m/>
    <m/>
    <m/>
    <m/>
    <x v="5"/>
    <x v="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EBE5F-DD4A-4C53-884C-AA369EE960E7}" name="PivotTable3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P4:Q7" firstHeaderRow="1" firstDataRow="1" firstDataCol="1" rowPageCount="2" colPageCount="1"/>
  <pivotFields count="10">
    <pivotField axis="axisPage" compact="0" outline="0" showAll="0">
      <items count="3">
        <item x="0"/>
        <item x="1"/>
        <item t="default"/>
      </items>
    </pivotField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h="1" x="11"/>
        <item h="1" x="10"/>
        <item h="1" x="6"/>
        <item h="1" x="7"/>
        <item h="1" x="12"/>
        <item h="1" x="9"/>
        <item h="1" x="8"/>
        <item x="5"/>
        <item h="1" x="1"/>
        <item h="1" x="4"/>
        <item h="1" x="3"/>
        <item h="1" x="0"/>
        <item x="2"/>
        <item h="1" x="13"/>
        <item t="default"/>
      </items>
    </pivotField>
    <pivotField compact="0" outline="0" showAll="0"/>
  </pivotFields>
  <rowFields count="1">
    <field x="8"/>
  </rowFields>
  <rowItems count="3">
    <i>
      <x v="7"/>
    </i>
    <i>
      <x v="12"/>
    </i>
    <i t="grand">
      <x/>
    </i>
  </rowItems>
  <colItems count="1">
    <i/>
  </colItems>
  <pageFields count="2">
    <pageField fld="0" hier="-1"/>
    <pageField fld="2" hier="-1"/>
  </pageField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21C66-9B8D-4943-B310-59BEB92A5E67}" name="PivotTable2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5:M12" firstHeaderRow="1" firstDataRow="1" firstDataCol="1" rowPageCount="3" colPageCount="1"/>
  <pivotFields count="10"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18">
        <item x="7"/>
        <item x="0"/>
        <item x="1"/>
        <item x="8"/>
        <item x="2"/>
        <item x="3"/>
        <item x="9"/>
        <item x="10"/>
        <item x="4"/>
        <item x="11"/>
        <item x="12"/>
        <item x="13"/>
        <item x="14"/>
        <item x="15"/>
        <item x="5"/>
        <item x="6"/>
        <item x="16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7">
        <item x="3"/>
        <item x="2"/>
        <item x="0"/>
        <item x="1"/>
        <item x="4"/>
        <item x="5"/>
        <item t="default"/>
      </items>
    </pivotField>
    <pivotField compact="0" outline="0" showAll="0"/>
    <pivotField compact="0" outline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3">
    <pageField fld="0" hier="-1"/>
    <pageField fld="1" hier="-1"/>
    <pageField fld="2" hier="-1"/>
  </pageField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3.7109375" customWidth="1"/>
    <col min="3" max="3" width="9.7109375" customWidth="1"/>
    <col min="4" max="4" width="60.7109375" customWidth="1"/>
    <col min="5" max="5" width="11.7109375" customWidth="1"/>
    <col min="6" max="6" width="1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>
        <v>2500000</v>
      </c>
      <c r="F2" s="4">
        <v>4940741</v>
      </c>
    </row>
    <row r="3" spans="1:6">
      <c r="A3" s="2" t="s">
        <v>6</v>
      </c>
      <c r="B3" s="2" t="s">
        <v>7</v>
      </c>
      <c r="C3" s="2" t="s">
        <v>8</v>
      </c>
      <c r="D3" s="2" t="s">
        <v>10</v>
      </c>
      <c r="E3" s="3">
        <v>2000000</v>
      </c>
      <c r="F3" s="4">
        <v>6940741</v>
      </c>
    </row>
    <row r="4" spans="1:6">
      <c r="A4" s="2" t="s">
        <v>6</v>
      </c>
      <c r="B4" s="2" t="s">
        <v>11</v>
      </c>
      <c r="C4" s="2" t="s">
        <v>8</v>
      </c>
      <c r="D4" s="2" t="s">
        <v>12</v>
      </c>
      <c r="E4" s="3">
        <v>2500000</v>
      </c>
      <c r="F4" s="4">
        <v>9440741</v>
      </c>
    </row>
    <row r="5" spans="1:6">
      <c r="A5" s="2" t="s">
        <v>6</v>
      </c>
      <c r="B5" s="2" t="s">
        <v>13</v>
      </c>
      <c r="C5" s="2" t="s">
        <v>8</v>
      </c>
      <c r="D5" s="2" t="s">
        <v>14</v>
      </c>
      <c r="E5" s="3">
        <v>28500</v>
      </c>
      <c r="F5" s="4">
        <v>9469241</v>
      </c>
    </row>
    <row r="6" spans="1:6">
      <c r="A6" s="2" t="s">
        <v>6</v>
      </c>
      <c r="B6" s="2" t="s">
        <v>15</v>
      </c>
      <c r="C6" s="2" t="s">
        <v>8</v>
      </c>
      <c r="D6" s="2" t="s">
        <v>16</v>
      </c>
      <c r="E6" s="3">
        <v>2500000</v>
      </c>
      <c r="F6" s="4">
        <v>11969241</v>
      </c>
    </row>
    <row r="7" spans="1:6">
      <c r="A7" s="2" t="s">
        <v>6</v>
      </c>
      <c r="B7" s="2" t="s">
        <v>15</v>
      </c>
      <c r="C7" s="2" t="s">
        <v>8</v>
      </c>
      <c r="D7" s="2" t="s">
        <v>17</v>
      </c>
      <c r="E7" s="3">
        <v>100000</v>
      </c>
      <c r="F7" s="4">
        <v>12069241</v>
      </c>
    </row>
    <row r="8" spans="1:6">
      <c r="A8" s="2" t="s">
        <v>6</v>
      </c>
      <c r="B8" s="2" t="s">
        <v>18</v>
      </c>
      <c r="C8" s="2" t="s">
        <v>8</v>
      </c>
      <c r="D8" s="2" t="s">
        <v>19</v>
      </c>
      <c r="E8" s="3">
        <v>2500000</v>
      </c>
      <c r="F8" s="4">
        <v>14569241</v>
      </c>
    </row>
    <row r="9" spans="1:6">
      <c r="A9" s="2" t="s">
        <v>6</v>
      </c>
      <c r="B9" s="2" t="s">
        <v>20</v>
      </c>
      <c r="C9" s="2" t="s">
        <v>8</v>
      </c>
      <c r="D9" s="2" t="s">
        <v>21</v>
      </c>
      <c r="E9" s="3">
        <v>2500000</v>
      </c>
      <c r="F9" s="4">
        <v>17069241</v>
      </c>
    </row>
    <row r="10" spans="1:6">
      <c r="A10" s="2" t="s">
        <v>6</v>
      </c>
      <c r="B10" s="2" t="s">
        <v>22</v>
      </c>
      <c r="C10" s="2" t="s">
        <v>8</v>
      </c>
      <c r="D10" s="2" t="s">
        <v>23</v>
      </c>
      <c r="E10" s="3">
        <v>66895</v>
      </c>
      <c r="F10" s="4">
        <v>17136136</v>
      </c>
    </row>
    <row r="11" spans="1:6">
      <c r="A11" s="2" t="s">
        <v>6</v>
      </c>
      <c r="B11" s="2" t="s">
        <v>24</v>
      </c>
      <c r="C11" s="2" t="s">
        <v>25</v>
      </c>
      <c r="D11" s="2" t="s">
        <v>26</v>
      </c>
      <c r="E11" s="3">
        <v>2500000</v>
      </c>
      <c r="F11" s="4">
        <v>3766011.87</v>
      </c>
    </row>
    <row r="12" spans="1:6">
      <c r="A12" s="2" t="s">
        <v>6</v>
      </c>
      <c r="B12" s="2" t="s">
        <v>7</v>
      </c>
      <c r="C12" s="2" t="s">
        <v>25</v>
      </c>
      <c r="D12" s="2" t="s">
        <v>27</v>
      </c>
      <c r="E12" s="3">
        <v>-2000000</v>
      </c>
      <c r="F12" s="4">
        <v>1766011.87</v>
      </c>
    </row>
    <row r="13" spans="1:6">
      <c r="A13" s="2" t="s">
        <v>6</v>
      </c>
      <c r="B13" s="2" t="s">
        <v>28</v>
      </c>
      <c r="C13" s="2" t="s">
        <v>25</v>
      </c>
      <c r="D13" s="2" t="s">
        <v>29</v>
      </c>
      <c r="E13" s="3">
        <v>100</v>
      </c>
      <c r="F13" s="4">
        <v>1766111.87</v>
      </c>
    </row>
    <row r="14" spans="1:6">
      <c r="A14" s="2" t="s">
        <v>6</v>
      </c>
      <c r="B14" s="2" t="s">
        <v>13</v>
      </c>
      <c r="C14" s="2" t="s">
        <v>25</v>
      </c>
      <c r="D14" s="2" t="s">
        <v>30</v>
      </c>
      <c r="E14" s="3">
        <v>2500000</v>
      </c>
      <c r="F14" s="4">
        <v>4266111.87</v>
      </c>
    </row>
    <row r="15" spans="1:6">
      <c r="A15" s="2" t="s">
        <v>6</v>
      </c>
      <c r="B15" s="2" t="s">
        <v>15</v>
      </c>
      <c r="C15" s="2" t="s">
        <v>25</v>
      </c>
      <c r="D15" s="2" t="s">
        <v>31</v>
      </c>
      <c r="E15" s="3">
        <v>-99</v>
      </c>
      <c r="F15" s="4">
        <v>4266012.87</v>
      </c>
    </row>
    <row r="16" spans="1:6">
      <c r="A16" s="2" t="s">
        <v>6</v>
      </c>
      <c r="B16" s="2" t="s">
        <v>32</v>
      </c>
      <c r="C16" s="2" t="s">
        <v>25</v>
      </c>
      <c r="D16" s="2" t="s">
        <v>33</v>
      </c>
      <c r="E16" s="3">
        <v>500000</v>
      </c>
      <c r="F16" s="4">
        <v>4766012.87</v>
      </c>
    </row>
    <row r="17" spans="1:6">
      <c r="A17" s="2" t="s">
        <v>6</v>
      </c>
      <c r="B17" s="2" t="s">
        <v>32</v>
      </c>
      <c r="C17" s="2" t="s">
        <v>25</v>
      </c>
      <c r="D17" s="2" t="s">
        <v>34</v>
      </c>
      <c r="E17" s="3">
        <v>500000</v>
      </c>
      <c r="F17" s="4">
        <v>5266012.87</v>
      </c>
    </row>
    <row r="18" spans="1:6">
      <c r="A18" s="2" t="s">
        <v>6</v>
      </c>
      <c r="B18" s="2" t="s">
        <v>35</v>
      </c>
      <c r="C18" s="2" t="s">
        <v>25</v>
      </c>
      <c r="D18" s="2" t="s">
        <v>36</v>
      </c>
      <c r="E18" s="3">
        <v>2500000</v>
      </c>
      <c r="F18" s="4">
        <v>7766012.8700000001</v>
      </c>
    </row>
    <row r="19" spans="1:6">
      <c r="A19" s="2" t="s">
        <v>6</v>
      </c>
      <c r="B19" s="2" t="s">
        <v>37</v>
      </c>
      <c r="C19" s="2" t="s">
        <v>25</v>
      </c>
      <c r="D19" s="2" t="s">
        <v>38</v>
      </c>
      <c r="E19" s="3">
        <v>100</v>
      </c>
      <c r="F19" s="4">
        <v>7766112.8700000001</v>
      </c>
    </row>
    <row r="20" spans="1:6">
      <c r="A20" s="2" t="s">
        <v>6</v>
      </c>
      <c r="B20" s="2" t="s">
        <v>39</v>
      </c>
      <c r="C20" s="2" t="s">
        <v>25</v>
      </c>
      <c r="D20" s="2" t="s">
        <v>40</v>
      </c>
      <c r="E20" s="3">
        <v>-495</v>
      </c>
      <c r="F20" s="4">
        <v>7765617.8700000001</v>
      </c>
    </row>
    <row r="21" spans="1:6">
      <c r="A21" s="2" t="s">
        <v>6</v>
      </c>
      <c r="B21" s="2" t="s">
        <v>41</v>
      </c>
      <c r="C21" s="2" t="s">
        <v>25</v>
      </c>
      <c r="D21" s="2" t="s">
        <v>42</v>
      </c>
      <c r="E21" s="3">
        <v>-416</v>
      </c>
      <c r="F21" s="4">
        <v>7765201.8700000001</v>
      </c>
    </row>
    <row r="22" spans="1:6">
      <c r="A22" s="2" t="s">
        <v>6</v>
      </c>
      <c r="B22" s="2" t="s">
        <v>43</v>
      </c>
      <c r="C22" s="2" t="s">
        <v>25</v>
      </c>
      <c r="D22" s="2" t="s">
        <v>44</v>
      </c>
      <c r="E22" s="3">
        <v>200000</v>
      </c>
      <c r="F22" s="4">
        <v>7965201.8700000001</v>
      </c>
    </row>
    <row r="23" spans="1:6">
      <c r="A23" s="2" t="s">
        <v>6</v>
      </c>
      <c r="B23" s="2" t="s">
        <v>45</v>
      </c>
      <c r="C23" s="2" t="s">
        <v>25</v>
      </c>
      <c r="D23" s="2" t="s">
        <v>46</v>
      </c>
      <c r="E23" s="3">
        <v>100000</v>
      </c>
      <c r="F23" s="4">
        <v>8065201.8700000001</v>
      </c>
    </row>
    <row r="24" spans="1:6">
      <c r="A24" s="2" t="s">
        <v>6</v>
      </c>
      <c r="B24" s="2" t="s">
        <v>45</v>
      </c>
      <c r="C24" s="2" t="s">
        <v>25</v>
      </c>
      <c r="D24" s="2" t="s">
        <v>47</v>
      </c>
      <c r="E24" s="3">
        <v>2500000</v>
      </c>
      <c r="F24" s="4">
        <v>10565201.869999999</v>
      </c>
    </row>
    <row r="25" spans="1:6">
      <c r="A25" s="2" t="s">
        <v>6</v>
      </c>
      <c r="B25" s="2" t="s">
        <v>22</v>
      </c>
      <c r="C25" s="2" t="s">
        <v>25</v>
      </c>
      <c r="D25" s="2" t="s">
        <v>48</v>
      </c>
      <c r="E25" s="3">
        <v>1300000</v>
      </c>
      <c r="F25" s="4">
        <v>11865201.869999999</v>
      </c>
    </row>
    <row r="26" spans="1:6">
      <c r="A26" s="2" t="s">
        <v>6</v>
      </c>
      <c r="B26" s="2" t="s">
        <v>22</v>
      </c>
      <c r="C26" s="2" t="s">
        <v>25</v>
      </c>
      <c r="D26" s="2" t="s">
        <v>23</v>
      </c>
      <c r="E26" s="3">
        <v>34241</v>
      </c>
      <c r="F26" s="4">
        <v>11899442.869999999</v>
      </c>
    </row>
  </sheetData>
  <autoFilter ref="A1:F2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6"/>
  <sheetViews>
    <sheetView workbookViewId="0">
      <pane ySplit="1" topLeftCell="B2" activePane="bottomLeft" state="frozen"/>
      <selection pane="bottomLeft" activeCell="S6" sqref="S6"/>
    </sheetView>
  </sheetViews>
  <sheetFormatPr defaultRowHeight="15"/>
  <cols>
    <col min="1" max="1" width="8.7109375" customWidth="1"/>
    <col min="2" max="2" width="13.7109375" customWidth="1"/>
    <col min="3" max="3" width="9.7109375" customWidth="1"/>
    <col min="4" max="4" width="60.7109375" customWidth="1"/>
    <col min="5" max="5" width="11.7109375" customWidth="1"/>
    <col min="6" max="6" width="13.7109375" customWidth="1"/>
    <col min="7" max="7" width="6.7109375" customWidth="1"/>
    <col min="8" max="8" width="14.7109375" customWidth="1"/>
    <col min="9" max="9" width="21.7109375" customWidth="1"/>
    <col min="10" max="10" width="15.7109375" customWidth="1"/>
    <col min="12" max="12" width="16.140625" bestFit="1" customWidth="1"/>
    <col min="13" max="13" width="14.85546875" bestFit="1" customWidth="1"/>
    <col min="14" max="14" width="9.5703125" bestFit="1" customWidth="1"/>
    <col min="15" max="15" width="7.140625" bestFit="1" customWidth="1"/>
    <col min="16" max="16" width="21.140625" bestFit="1" customWidth="1"/>
    <col min="17" max="17" width="14.8554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</v>
      </c>
      <c r="H1" s="1" t="s">
        <v>50</v>
      </c>
      <c r="I1" s="1" t="s">
        <v>51</v>
      </c>
      <c r="J1" s="1" t="s">
        <v>52</v>
      </c>
      <c r="L1" s="5" t="s">
        <v>0</v>
      </c>
      <c r="M1" t="s">
        <v>53</v>
      </c>
      <c r="P1" s="5" t="s">
        <v>0</v>
      </c>
      <c r="Q1" t="s">
        <v>53</v>
      </c>
    </row>
    <row r="2" spans="1:17">
      <c r="A2" s="2" t="s">
        <v>6</v>
      </c>
      <c r="B2" s="2" t="s">
        <v>7</v>
      </c>
      <c r="C2" s="2" t="s">
        <v>8</v>
      </c>
      <c r="D2" s="2" t="s">
        <v>9</v>
      </c>
      <c r="E2" s="3">
        <v>2500000</v>
      </c>
      <c r="F2" s="4">
        <v>4940741</v>
      </c>
      <c r="G2" s="2" t="s">
        <v>54</v>
      </c>
      <c r="H2" s="2" t="s">
        <v>55</v>
      </c>
      <c r="I2" s="2" t="s">
        <v>56</v>
      </c>
      <c r="J2" s="2" t="s">
        <v>57</v>
      </c>
      <c r="L2" s="5" t="s">
        <v>1</v>
      </c>
      <c r="M2" t="s">
        <v>53</v>
      </c>
      <c r="P2" s="5" t="s">
        <v>2</v>
      </c>
      <c r="Q2" t="s">
        <v>53</v>
      </c>
    </row>
    <row r="3" spans="1:17">
      <c r="A3" s="2" t="s">
        <v>6</v>
      </c>
      <c r="B3" s="2" t="s">
        <v>7</v>
      </c>
      <c r="C3" s="2" t="s">
        <v>8</v>
      </c>
      <c r="D3" s="2" t="s">
        <v>10</v>
      </c>
      <c r="E3" s="3">
        <v>2000000</v>
      </c>
      <c r="F3" s="4">
        <v>6940741</v>
      </c>
      <c r="G3" s="2" t="s">
        <v>58</v>
      </c>
      <c r="H3" s="2" t="s">
        <v>55</v>
      </c>
      <c r="I3" s="2" t="s">
        <v>59</v>
      </c>
      <c r="J3" s="2" t="s">
        <v>57</v>
      </c>
      <c r="L3" s="5" t="s">
        <v>2</v>
      </c>
      <c r="M3" t="s">
        <v>53</v>
      </c>
    </row>
    <row r="4" spans="1:17">
      <c r="A4" s="2" t="s">
        <v>6</v>
      </c>
      <c r="B4" s="2" t="s">
        <v>11</v>
      </c>
      <c r="C4" s="2" t="s">
        <v>8</v>
      </c>
      <c r="D4" s="2" t="s">
        <v>12</v>
      </c>
      <c r="E4" s="3">
        <v>2500000</v>
      </c>
      <c r="F4" s="4">
        <v>9440741</v>
      </c>
      <c r="G4" s="2" t="s">
        <v>54</v>
      </c>
      <c r="H4" s="2" t="s">
        <v>55</v>
      </c>
      <c r="I4" s="2" t="s">
        <v>56</v>
      </c>
      <c r="J4" s="2" t="s">
        <v>57</v>
      </c>
      <c r="P4" s="5" t="s">
        <v>51</v>
      </c>
      <c r="Q4" t="s">
        <v>60</v>
      </c>
    </row>
    <row r="5" spans="1:17">
      <c r="A5" s="2" t="s">
        <v>6</v>
      </c>
      <c r="B5" s="2" t="s">
        <v>13</v>
      </c>
      <c r="C5" s="2" t="s">
        <v>8</v>
      </c>
      <c r="D5" s="2" t="s">
        <v>14</v>
      </c>
      <c r="E5" s="3">
        <v>28500</v>
      </c>
      <c r="F5" s="4">
        <v>9469241</v>
      </c>
      <c r="G5" s="2" t="s">
        <v>61</v>
      </c>
      <c r="H5" s="2" t="s">
        <v>55</v>
      </c>
      <c r="I5" s="2" t="s">
        <v>62</v>
      </c>
      <c r="J5" s="2" t="s">
        <v>57</v>
      </c>
      <c r="L5" s="5" t="s">
        <v>50</v>
      </c>
      <c r="M5" t="s">
        <v>60</v>
      </c>
      <c r="P5" t="s">
        <v>63</v>
      </c>
      <c r="Q5" s="6">
        <v>101136</v>
      </c>
    </row>
    <row r="6" spans="1:17">
      <c r="A6" s="2" t="s">
        <v>6</v>
      </c>
      <c r="B6" s="2" t="s">
        <v>15</v>
      </c>
      <c r="C6" s="2" t="s">
        <v>8</v>
      </c>
      <c r="D6" s="2" t="s">
        <v>16</v>
      </c>
      <c r="E6" s="3">
        <v>2500000</v>
      </c>
      <c r="F6" s="4">
        <v>11969241</v>
      </c>
      <c r="G6" s="2" t="s">
        <v>64</v>
      </c>
      <c r="H6" s="2" t="s">
        <v>55</v>
      </c>
      <c r="I6" s="2" t="s">
        <v>65</v>
      </c>
      <c r="J6" s="2" t="s">
        <v>57</v>
      </c>
      <c r="L6" t="s">
        <v>66</v>
      </c>
      <c r="M6" s="6">
        <v>-99</v>
      </c>
      <c r="P6" t="s">
        <v>62</v>
      </c>
      <c r="Q6" s="6">
        <v>28500</v>
      </c>
    </row>
    <row r="7" spans="1:17">
      <c r="A7" s="2" t="s">
        <v>6</v>
      </c>
      <c r="B7" s="2" t="s">
        <v>15</v>
      </c>
      <c r="C7" s="2" t="s">
        <v>8</v>
      </c>
      <c r="D7" s="2" t="s">
        <v>17</v>
      </c>
      <c r="E7" s="3">
        <v>100000</v>
      </c>
      <c r="F7" s="4">
        <v>12069241</v>
      </c>
      <c r="G7" s="2" t="s">
        <v>67</v>
      </c>
      <c r="H7" s="2" t="s">
        <v>55</v>
      </c>
      <c r="I7" s="2" t="s">
        <v>68</v>
      </c>
      <c r="J7" s="2" t="s">
        <v>57</v>
      </c>
      <c r="L7" t="s">
        <v>69</v>
      </c>
      <c r="M7" s="6">
        <v>100</v>
      </c>
      <c r="P7" t="s">
        <v>70</v>
      </c>
      <c r="Q7" s="6">
        <v>129636</v>
      </c>
    </row>
    <row r="8" spans="1:17">
      <c r="A8" s="2" t="s">
        <v>6</v>
      </c>
      <c r="B8" s="2" t="s">
        <v>18</v>
      </c>
      <c r="C8" s="2" t="s">
        <v>8</v>
      </c>
      <c r="D8" s="2" t="s">
        <v>19</v>
      </c>
      <c r="E8" s="3">
        <v>2500000</v>
      </c>
      <c r="F8" s="4">
        <v>14569241</v>
      </c>
      <c r="G8" s="2" t="s">
        <v>54</v>
      </c>
      <c r="H8" s="2" t="s">
        <v>55</v>
      </c>
      <c r="I8" s="2" t="s">
        <v>56</v>
      </c>
      <c r="J8" s="2" t="s">
        <v>57</v>
      </c>
      <c r="L8" t="s">
        <v>55</v>
      </c>
      <c r="M8" s="6">
        <v>16029736</v>
      </c>
    </row>
    <row r="9" spans="1:17">
      <c r="A9" s="2" t="s">
        <v>6</v>
      </c>
      <c r="B9" s="2" t="s">
        <v>20</v>
      </c>
      <c r="C9" s="2" t="s">
        <v>8</v>
      </c>
      <c r="D9" s="2" t="s">
        <v>21</v>
      </c>
      <c r="E9" s="3">
        <v>2500000</v>
      </c>
      <c r="F9" s="4">
        <v>17069241</v>
      </c>
      <c r="G9" s="2" t="s">
        <v>54</v>
      </c>
      <c r="H9" s="2" t="s">
        <v>55</v>
      </c>
      <c r="I9" s="2" t="s">
        <v>56</v>
      </c>
      <c r="J9" s="2" t="s">
        <v>57</v>
      </c>
      <c r="L9" t="s">
        <v>71</v>
      </c>
      <c r="M9" s="6">
        <v>9300000</v>
      </c>
    </row>
    <row r="10" spans="1:17">
      <c r="A10" s="2" t="s">
        <v>6</v>
      </c>
      <c r="B10" s="2" t="s">
        <v>22</v>
      </c>
      <c r="C10" s="2" t="s">
        <v>8</v>
      </c>
      <c r="D10" s="2" t="s">
        <v>23</v>
      </c>
      <c r="E10" s="3">
        <v>66895</v>
      </c>
      <c r="F10" s="4">
        <v>17136136</v>
      </c>
      <c r="G10" s="2" t="s">
        <v>72</v>
      </c>
      <c r="H10" s="2" t="s">
        <v>55</v>
      </c>
      <c r="I10" s="2" t="s">
        <v>63</v>
      </c>
      <c r="J10" s="2" t="s">
        <v>73</v>
      </c>
      <c r="L10" t="s">
        <v>74</v>
      </c>
      <c r="M10" s="6">
        <v>-911</v>
      </c>
    </row>
    <row r="11" spans="1:17">
      <c r="A11" s="2" t="s">
        <v>6</v>
      </c>
      <c r="B11" s="2" t="s">
        <v>24</v>
      </c>
      <c r="C11" s="2" t="s">
        <v>25</v>
      </c>
      <c r="D11" s="2" t="s">
        <v>26</v>
      </c>
      <c r="E11" s="3">
        <v>2500000</v>
      </c>
      <c r="F11" s="4">
        <v>3766011.87</v>
      </c>
      <c r="G11" s="2" t="s">
        <v>54</v>
      </c>
      <c r="H11" s="2" t="s">
        <v>71</v>
      </c>
      <c r="I11" s="2" t="s">
        <v>75</v>
      </c>
      <c r="J11" s="2" t="s">
        <v>57</v>
      </c>
      <c r="L11" t="s">
        <v>76</v>
      </c>
      <c r="M11" s="6"/>
    </row>
    <row r="12" spans="1:17">
      <c r="A12" s="2" t="s">
        <v>6</v>
      </c>
      <c r="B12" s="2" t="s">
        <v>7</v>
      </c>
      <c r="C12" s="2" t="s">
        <v>25</v>
      </c>
      <c r="D12" s="2" t="s">
        <v>27</v>
      </c>
      <c r="E12" s="3">
        <v>-2000000</v>
      </c>
      <c r="F12" s="4">
        <v>1766011.87</v>
      </c>
      <c r="G12" s="2" t="s">
        <v>58</v>
      </c>
      <c r="H12" s="2" t="s">
        <v>71</v>
      </c>
      <c r="I12" s="2" t="s">
        <v>77</v>
      </c>
      <c r="J12" s="2" t="s">
        <v>57</v>
      </c>
      <c r="L12" t="s">
        <v>70</v>
      </c>
      <c r="M12" s="6">
        <v>25328826</v>
      </c>
    </row>
    <row r="13" spans="1:17">
      <c r="A13" s="2" t="s">
        <v>6</v>
      </c>
      <c r="B13" s="2" t="s">
        <v>28</v>
      </c>
      <c r="C13" s="2" t="s">
        <v>25</v>
      </c>
      <c r="D13" s="2" t="s">
        <v>29</v>
      </c>
      <c r="E13" s="3">
        <v>100</v>
      </c>
      <c r="F13" s="4">
        <v>1766111.87</v>
      </c>
      <c r="G13" s="2" t="s">
        <v>69</v>
      </c>
      <c r="H13" s="2" t="s">
        <v>69</v>
      </c>
      <c r="I13" s="2" t="s">
        <v>69</v>
      </c>
      <c r="J13" s="2" t="s">
        <v>69</v>
      </c>
    </row>
    <row r="14" spans="1:17">
      <c r="A14" s="2" t="s">
        <v>6</v>
      </c>
      <c r="B14" s="2" t="s">
        <v>13</v>
      </c>
      <c r="C14" s="2" t="s">
        <v>25</v>
      </c>
      <c r="D14" s="2" t="s">
        <v>30</v>
      </c>
      <c r="E14" s="3">
        <v>2500000</v>
      </c>
      <c r="F14" s="4">
        <v>4266111.87</v>
      </c>
      <c r="G14" s="2" t="s">
        <v>54</v>
      </c>
      <c r="H14" s="2" t="s">
        <v>71</v>
      </c>
      <c r="I14" s="2" t="s">
        <v>75</v>
      </c>
      <c r="J14" s="2" t="s">
        <v>57</v>
      </c>
    </row>
    <row r="15" spans="1:17">
      <c r="A15" s="2" t="s">
        <v>6</v>
      </c>
      <c r="B15" s="2" t="s">
        <v>15</v>
      </c>
      <c r="C15" s="2" t="s">
        <v>25</v>
      </c>
      <c r="D15" s="2" t="s">
        <v>31</v>
      </c>
      <c r="E15" s="3">
        <v>-99</v>
      </c>
      <c r="F15" s="4">
        <v>4266012.87</v>
      </c>
      <c r="G15" s="2" t="s">
        <v>72</v>
      </c>
      <c r="H15" s="2" t="s">
        <v>66</v>
      </c>
      <c r="I15" s="2" t="s">
        <v>78</v>
      </c>
      <c r="J15" s="2" t="s">
        <v>57</v>
      </c>
    </row>
    <row r="16" spans="1:17">
      <c r="A16" s="2" t="s">
        <v>6</v>
      </c>
      <c r="B16" s="2" t="s">
        <v>32</v>
      </c>
      <c r="C16" s="2" t="s">
        <v>25</v>
      </c>
      <c r="D16" s="2" t="s">
        <v>33</v>
      </c>
      <c r="E16" s="3">
        <v>500000</v>
      </c>
      <c r="F16" s="4">
        <v>4766012.87</v>
      </c>
      <c r="G16" s="2" t="s">
        <v>61</v>
      </c>
      <c r="H16" s="2" t="s">
        <v>55</v>
      </c>
      <c r="I16" s="2" t="s">
        <v>79</v>
      </c>
      <c r="J16" s="2" t="s">
        <v>57</v>
      </c>
    </row>
    <row r="17" spans="1:10">
      <c r="A17" s="2" t="s">
        <v>6</v>
      </c>
      <c r="B17" s="2" t="s">
        <v>32</v>
      </c>
      <c r="C17" s="2" t="s">
        <v>25</v>
      </c>
      <c r="D17" s="2" t="s">
        <v>34</v>
      </c>
      <c r="E17" s="3">
        <v>500000</v>
      </c>
      <c r="F17" s="4">
        <v>5266012.87</v>
      </c>
      <c r="G17" s="2" t="s">
        <v>61</v>
      </c>
      <c r="H17" s="2" t="s">
        <v>55</v>
      </c>
      <c r="I17" s="2" t="s">
        <v>79</v>
      </c>
      <c r="J17" s="2" t="s">
        <v>57</v>
      </c>
    </row>
    <row r="18" spans="1:10">
      <c r="A18" s="2" t="s">
        <v>6</v>
      </c>
      <c r="B18" s="2" t="s">
        <v>35</v>
      </c>
      <c r="C18" s="2" t="s">
        <v>25</v>
      </c>
      <c r="D18" s="2" t="s">
        <v>36</v>
      </c>
      <c r="E18" s="3">
        <v>2500000</v>
      </c>
      <c r="F18" s="4">
        <v>7766012.8700000001</v>
      </c>
      <c r="G18" s="2" t="s">
        <v>54</v>
      </c>
      <c r="H18" s="2" t="s">
        <v>71</v>
      </c>
      <c r="I18" s="2" t="s">
        <v>75</v>
      </c>
      <c r="J18" s="2" t="s">
        <v>57</v>
      </c>
    </row>
    <row r="19" spans="1:10">
      <c r="A19" s="2" t="s">
        <v>6</v>
      </c>
      <c r="B19" s="2" t="s">
        <v>37</v>
      </c>
      <c r="C19" s="2" t="s">
        <v>25</v>
      </c>
      <c r="D19" s="2" t="s">
        <v>38</v>
      </c>
      <c r="E19" s="3">
        <v>100</v>
      </c>
      <c r="F19" s="4">
        <v>7766112.8700000001</v>
      </c>
      <c r="G19" s="2" t="s">
        <v>64</v>
      </c>
      <c r="H19" s="2" t="s">
        <v>55</v>
      </c>
      <c r="I19" s="2" t="s">
        <v>80</v>
      </c>
      <c r="J19" s="2" t="s">
        <v>57</v>
      </c>
    </row>
    <row r="20" spans="1:10">
      <c r="A20" s="2" t="s">
        <v>6</v>
      </c>
      <c r="B20" s="2" t="s">
        <v>39</v>
      </c>
      <c r="C20" s="2" t="s">
        <v>25</v>
      </c>
      <c r="D20" s="2" t="s">
        <v>40</v>
      </c>
      <c r="E20" s="3">
        <v>-495</v>
      </c>
      <c r="F20" s="4">
        <v>7765617.8700000001</v>
      </c>
      <c r="G20" s="2" t="s">
        <v>81</v>
      </c>
      <c r="H20" s="2" t="s">
        <v>74</v>
      </c>
      <c r="I20" s="2" t="s">
        <v>82</v>
      </c>
      <c r="J20" s="2" t="s">
        <v>83</v>
      </c>
    </row>
    <row r="21" spans="1:10">
      <c r="A21" s="2" t="s">
        <v>6</v>
      </c>
      <c r="B21" s="2" t="s">
        <v>41</v>
      </c>
      <c r="C21" s="2" t="s">
        <v>25</v>
      </c>
      <c r="D21" s="2" t="s">
        <v>42</v>
      </c>
      <c r="E21" s="3">
        <v>-416</v>
      </c>
      <c r="F21" s="4">
        <v>7765201.8700000001</v>
      </c>
      <c r="G21" s="2" t="s">
        <v>81</v>
      </c>
      <c r="H21" s="2" t="s">
        <v>74</v>
      </c>
      <c r="I21" s="2" t="s">
        <v>82</v>
      </c>
      <c r="J21" s="2" t="s">
        <v>83</v>
      </c>
    </row>
    <row r="22" spans="1:10">
      <c r="A22" s="2" t="s">
        <v>6</v>
      </c>
      <c r="B22" s="2" t="s">
        <v>43</v>
      </c>
      <c r="C22" s="2" t="s">
        <v>25</v>
      </c>
      <c r="D22" s="2" t="s">
        <v>44</v>
      </c>
      <c r="E22" s="3">
        <v>200000</v>
      </c>
      <c r="F22" s="4">
        <v>7965201.8700000001</v>
      </c>
      <c r="G22" s="2" t="s">
        <v>64</v>
      </c>
      <c r="H22" s="2" t="s">
        <v>55</v>
      </c>
      <c r="I22" s="2" t="s">
        <v>80</v>
      </c>
      <c r="J22" s="2" t="s">
        <v>57</v>
      </c>
    </row>
    <row r="23" spans="1:10">
      <c r="A23" s="2" t="s">
        <v>6</v>
      </c>
      <c r="B23" s="2" t="s">
        <v>45</v>
      </c>
      <c r="C23" s="2" t="s">
        <v>25</v>
      </c>
      <c r="D23" s="2" t="s">
        <v>46</v>
      </c>
      <c r="E23" s="3">
        <v>100000</v>
      </c>
      <c r="F23" s="4">
        <v>8065201.8700000001</v>
      </c>
      <c r="G23" s="2" t="s">
        <v>64</v>
      </c>
      <c r="H23" s="2" t="s">
        <v>55</v>
      </c>
      <c r="I23" s="2" t="s">
        <v>80</v>
      </c>
      <c r="J23" s="2" t="s">
        <v>57</v>
      </c>
    </row>
    <row r="24" spans="1:10">
      <c r="A24" s="2" t="s">
        <v>6</v>
      </c>
      <c r="B24" s="2" t="s">
        <v>45</v>
      </c>
      <c r="C24" s="2" t="s">
        <v>25</v>
      </c>
      <c r="D24" s="2" t="s">
        <v>47</v>
      </c>
      <c r="E24" s="3">
        <v>2500000</v>
      </c>
      <c r="F24" s="4">
        <v>10565201.869999999</v>
      </c>
      <c r="G24" s="2" t="s">
        <v>54</v>
      </c>
      <c r="H24" s="2" t="s">
        <v>71</v>
      </c>
      <c r="I24" s="2" t="s">
        <v>75</v>
      </c>
      <c r="J24" s="2" t="s">
        <v>57</v>
      </c>
    </row>
    <row r="25" spans="1:10">
      <c r="A25" s="2" t="s">
        <v>6</v>
      </c>
      <c r="B25" s="2" t="s">
        <v>22</v>
      </c>
      <c r="C25" s="2" t="s">
        <v>25</v>
      </c>
      <c r="D25" s="2" t="s">
        <v>48</v>
      </c>
      <c r="E25" s="3">
        <v>1300000</v>
      </c>
      <c r="F25" s="4">
        <v>11865201.869999999</v>
      </c>
      <c r="G25" s="2" t="s">
        <v>54</v>
      </c>
      <c r="H25" s="2" t="s">
        <v>71</v>
      </c>
      <c r="I25" s="2" t="s">
        <v>75</v>
      </c>
      <c r="J25" s="2" t="s">
        <v>57</v>
      </c>
    </row>
    <row r="26" spans="1:10">
      <c r="A26" s="2" t="s">
        <v>6</v>
      </c>
      <c r="B26" s="2" t="s">
        <v>22</v>
      </c>
      <c r="C26" s="2" t="s">
        <v>25</v>
      </c>
      <c r="D26" s="2" t="s">
        <v>23</v>
      </c>
      <c r="E26" s="3">
        <v>34241</v>
      </c>
      <c r="F26" s="4">
        <v>11899442.869999999</v>
      </c>
      <c r="G26" s="2" t="s">
        <v>72</v>
      </c>
      <c r="H26" s="2" t="s">
        <v>55</v>
      </c>
      <c r="I26" s="2" t="s">
        <v>63</v>
      </c>
      <c r="J26" s="2" t="s">
        <v>73</v>
      </c>
    </row>
  </sheetData>
  <autoFilter ref="A1:J2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Jain</cp:lastModifiedBy>
  <cp:revision/>
  <dcterms:created xsi:type="dcterms:W3CDTF">2026-02-28T15:48:03Z</dcterms:created>
  <dcterms:modified xsi:type="dcterms:W3CDTF">2026-03-01T14:06:26Z</dcterms:modified>
  <cp:category/>
  <cp:contentStatus/>
</cp:coreProperties>
</file>